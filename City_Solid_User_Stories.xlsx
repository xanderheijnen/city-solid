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  <sheet xmlns:r="http://schemas.openxmlformats.org/officeDocument/2006/relationships" name="Samenvatting" sheetId="2" state="visible" r:id="rId2"/>
  </sheets>
  <definedNames>
    <definedName name="_xlnm._FilterDatabase" localSheetId="0" hidden="1">'User Stories'!$A$1:$F$1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color rgb="00242C4C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42C4C"/>
      </patternFill>
    </fill>
    <fill>
      <patternFill patternType="solid">
        <fgColor rgb="00E2EFDA"/>
      </patternFill>
    </fill>
    <fill>
      <patternFill patternType="solid">
        <fgColor rgb="00DAEE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5" customWidth="1" min="3" max="3"/>
    <col width="65" customWidth="1" min="4" max="4"/>
    <col width="10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Epic</t>
        </is>
      </c>
      <c r="C1" s="1" t="inlineStr">
        <is>
          <t>User Story</t>
        </is>
      </c>
      <c r="D1" s="1" t="inlineStr">
        <is>
          <t>Acceptatiecriteria</t>
        </is>
      </c>
      <c r="E1" s="1" t="inlineStr">
        <is>
          <t>Status</t>
        </is>
      </c>
      <c r="F1" s="1" t="inlineStr">
        <is>
          <t>Prioriteit</t>
        </is>
      </c>
    </row>
    <row r="2">
      <c r="A2" s="2" t="inlineStr">
        <is>
          <t>US-001</t>
        </is>
      </c>
      <c r="B2" s="2" t="inlineStr">
        <is>
          <t>Authenticatie</t>
        </is>
      </c>
      <c r="C2" s="2" t="inlineStr">
        <is>
          <t>Als medewerker wil ik kunnen inloggen met e-mail en wachtwoord zodat ik toegang heb tot het platform</t>
        </is>
      </c>
      <c r="D2" s="2" t="inlineStr">
        <is>
          <t>Login via Supabase Auth; foutmelding bij onjuiste gegevens; redirect naar dashboard na login</t>
        </is>
      </c>
      <c r="E2" s="3" t="inlineStr">
        <is>
          <t>Gereed</t>
        </is>
      </c>
      <c r="F2" s="4" t="inlineStr">
        <is>
          <t>Must</t>
        </is>
      </c>
    </row>
    <row r="3">
      <c r="A3" s="2" t="inlineStr">
        <is>
          <t>US-002</t>
        </is>
      </c>
      <c r="B3" s="2" t="inlineStr">
        <is>
          <t>Authenticatie</t>
        </is>
      </c>
      <c r="C3" s="2" t="inlineStr">
        <is>
          <t>Als medewerker wil ik kunnen uitloggen zodat mijn sessie veilig wordt afgesloten</t>
        </is>
      </c>
      <c r="D3" s="2" t="inlineStr">
        <is>
          <t>Logout knop in navigatie; sessie wordt beeindigd; redirect naar loginpagina</t>
        </is>
      </c>
      <c r="E3" s="3" t="inlineStr">
        <is>
          <t>Gereed</t>
        </is>
      </c>
      <c r="F3" s="4" t="inlineStr">
        <is>
          <t>Must</t>
        </is>
      </c>
    </row>
    <row r="4">
      <c r="A4" s="2" t="inlineStr">
        <is>
          <t>US-003</t>
        </is>
      </c>
      <c r="B4" s="2" t="inlineStr">
        <is>
          <t>Autorisatie</t>
        </is>
      </c>
      <c r="C4" s="2" t="inlineStr">
        <is>
          <t>Als admin wil ik rollen toewijzen aan gebruikers (admin, intaker, trainer, manager, readonly) zodat toegang beperkt is</t>
        </is>
      </c>
      <c r="D4" s="2" t="inlineStr">
        <is>
          <t>Rolsysteem via cs_user_roles tabel; 5 rollen beschikbaar; RLS policies per rol actief</t>
        </is>
      </c>
      <c r="E4" s="3" t="inlineStr">
        <is>
          <t>Gereed</t>
        </is>
      </c>
      <c r="F4" s="4" t="inlineStr">
        <is>
          <t>Must</t>
        </is>
      </c>
    </row>
    <row r="5">
      <c r="A5" s="2" t="inlineStr">
        <is>
          <t>US-004</t>
        </is>
      </c>
      <c r="B5" s="2" t="inlineStr">
        <is>
          <t>Autorisatie</t>
        </is>
      </c>
      <c r="C5" s="2" t="inlineStr">
        <is>
          <t>Als gebruiker wil ik alleen functies zien die bij mijn rol horen zodat de interface overzichtelijk is</t>
        </is>
      </c>
      <c r="D5" s="2" t="inlineStr">
        <is>
          <t>PermissionGate component verbergt UI-elementen per rol; knoppen/paginas correct verborgen</t>
        </is>
      </c>
      <c r="E5" s="3" t="inlineStr">
        <is>
          <t>Gereed</t>
        </is>
      </c>
      <c r="F5" s="4" t="inlineStr">
        <is>
          <t>Must</t>
        </is>
      </c>
    </row>
    <row r="6">
      <c r="A6" s="2" t="inlineStr">
        <is>
          <t>US-005</t>
        </is>
      </c>
      <c r="B6" s="2" t="inlineStr">
        <is>
          <t>Authenticatie</t>
        </is>
      </c>
      <c r="C6" s="2" t="inlineStr">
        <is>
          <t>Als medewerker wil ik mijn profiel kunnen beheren (naam, avatar, telefoon, functie)</t>
        </is>
      </c>
      <c r="D6" s="2" t="inlineStr">
        <is>
          <t>Profielpagina met formulier; wijzigingen opgeslagen in cs_profiles</t>
        </is>
      </c>
      <c r="E6" s="3" t="inlineStr">
        <is>
          <t>Gereed</t>
        </is>
      </c>
      <c r="F6" s="3" t="inlineStr">
        <is>
          <t>Should</t>
        </is>
      </c>
    </row>
    <row r="7">
      <c r="A7" s="2" t="inlineStr">
        <is>
          <t>US-006</t>
        </is>
      </c>
      <c r="B7" s="2" t="inlineStr">
        <is>
          <t>Kandidaten</t>
        </is>
      </c>
      <c r="C7" s="2" t="inlineStr">
        <is>
          <t>Als intaker wil ik een nieuwe kandidaat kunnen aanmelden met basisgegevens</t>
        </is>
      </c>
      <c r="D7" s="2" t="inlineStr">
        <is>
          <t>Formulier met voornaam, achternaam, telefoon, email, geslacht; opslaan in database; automatisch display ID (KAN-xxxx)</t>
        </is>
      </c>
      <c r="E7" s="3" t="inlineStr">
        <is>
          <t>Gereed</t>
        </is>
      </c>
      <c r="F7" s="4" t="inlineStr">
        <is>
          <t>Must</t>
        </is>
      </c>
    </row>
    <row r="8">
      <c r="A8" s="2" t="inlineStr">
        <is>
          <t>US-007</t>
        </is>
      </c>
      <c r="B8" s="2" t="inlineStr">
        <is>
          <t>Kandidaten</t>
        </is>
      </c>
      <c r="C8" s="2" t="inlineStr">
        <is>
          <t>Als intaker wil ik een overzicht zien van alle aanmeldingen met zoek- en filterfunctie</t>
        </is>
      </c>
      <c r="D8" s="2" t="inlineStr">
        <is>
          <t>Tabeloverzicht; zoeken op naam/email/ID; filteren op status</t>
        </is>
      </c>
      <c r="E8" s="3" t="inlineStr">
        <is>
          <t>Gereed</t>
        </is>
      </c>
      <c r="F8" s="4" t="inlineStr">
        <is>
          <t>Must</t>
        </is>
      </c>
    </row>
    <row r="9">
      <c r="A9" s="2" t="inlineStr">
        <is>
          <t>US-008</t>
        </is>
      </c>
      <c r="B9" s="2" t="inlineStr">
        <is>
          <t>Kandidaten</t>
        </is>
      </c>
      <c r="C9" s="2" t="inlineStr">
        <is>
          <t>Als medewerker wil ik een kandidaat detailpagina zien met alle gegevens in tabs</t>
        </is>
      </c>
      <c r="D9" s="2" t="inlineStr">
        <is>
          <t>Tabs: Persoonsgegevens, Trainingen, Notities, Documenten; alle intake-data zichtbaar</t>
        </is>
      </c>
      <c r="E9" s="3" t="inlineStr">
        <is>
          <t>Gereed</t>
        </is>
      </c>
      <c r="F9" s="4" t="inlineStr">
        <is>
          <t>Must</t>
        </is>
      </c>
    </row>
    <row r="10">
      <c r="A10" s="2" t="inlineStr">
        <is>
          <t>US-009</t>
        </is>
      </c>
      <c r="B10" s="2" t="inlineStr">
        <is>
          <t>Kandidaten</t>
        </is>
      </c>
      <c r="C10" s="2" t="inlineStr">
        <is>
          <t>Als medewerker wil ik kandidaten kunnen filteren op status, wijk, gebied, geslacht, klantmanager en datum</t>
        </is>
      </c>
      <c r="D10" s="2" t="inlineStr">
        <is>
          <t>Filteropties in overzichtslijst; combineerbare filters; resultaten direct bijgewerkt</t>
        </is>
      </c>
      <c r="E10" s="3" t="inlineStr">
        <is>
          <t>Gereed</t>
        </is>
      </c>
      <c r="F10" s="3" t="inlineStr">
        <is>
          <t>Should</t>
        </is>
      </c>
    </row>
    <row r="11">
      <c r="A11" s="2" t="inlineStr">
        <is>
          <t>US-010</t>
        </is>
      </c>
      <c r="B11" s="2" t="inlineStr">
        <is>
          <t>Kandidaten</t>
        </is>
      </c>
      <c r="C11" s="2" t="inlineStr">
        <is>
          <t>Als medewerker wil ik de trajectstatus van een kandidaat zien via een tramline stepper</t>
        </is>
      </c>
      <c r="D11" s="2" t="inlineStr">
        <is>
          <t>Visuele tramline met stappen: aanmelding t/m afronding/uitgevallen; huidige status gemarkeerd</t>
        </is>
      </c>
      <c r="E11" s="3" t="inlineStr">
        <is>
          <t>Gereed</t>
        </is>
      </c>
      <c r="F11" s="3" t="inlineStr">
        <is>
          <t>Should</t>
        </is>
      </c>
    </row>
    <row r="12">
      <c r="A12" s="2" t="inlineStr">
        <is>
          <t>US-011</t>
        </is>
      </c>
      <c r="B12" s="2" t="inlineStr">
        <is>
          <t>Kandidaten</t>
        </is>
      </c>
      <c r="C12" s="2" t="inlineStr">
        <is>
          <t>Als admin wil ik een kandidaat AVG-conform kunnen verwijderen inclusief alle gerelateerde data</t>
        </is>
      </c>
      <c r="D12" s="2" t="inlineStr">
        <is>
          <t>Cascade delete: persoonsgegevens, trainingen, aanwezigheid, voortgang, notities, documenten; audit log entry; bevestigingsdialoog</t>
        </is>
      </c>
      <c r="E12" s="3" t="inlineStr">
        <is>
          <t>Gereed</t>
        </is>
      </c>
      <c r="F12" s="4" t="inlineStr">
        <is>
          <t>Must</t>
        </is>
      </c>
    </row>
    <row r="13">
      <c r="A13" s="2" t="inlineStr">
        <is>
          <t>US-012</t>
        </is>
      </c>
      <c r="B13" s="2" t="inlineStr">
        <is>
          <t>Intake</t>
        </is>
      </c>
      <c r="C13" s="2" t="inlineStr">
        <is>
          <t>Als intaker wil ik persoonlijke gegevens invoeren (naam, geboortedatum, geboorteplaats, BSN, nationaliteit, geslacht)</t>
        </is>
      </c>
      <c r="D13" s="2" t="inlineStr">
        <is>
          <t>Stap 1 van wizard; alle velden aanwezig; voornaam/achternaam verplicht</t>
        </is>
      </c>
      <c r="E13" s="3" t="inlineStr">
        <is>
          <t>Gereed</t>
        </is>
      </c>
      <c r="F13" s="4" t="inlineStr">
        <is>
          <t>Must</t>
        </is>
      </c>
    </row>
    <row r="14">
      <c r="A14" s="2" t="inlineStr">
        <is>
          <t>US-013</t>
        </is>
      </c>
      <c r="B14" s="2" t="inlineStr">
        <is>
          <t>Intake</t>
        </is>
      </c>
      <c r="C14" s="2" t="inlineStr">
        <is>
          <t>Als intaker wil ik adresgegevens invoeren (straat, postcode, woonplaats, BRP, reden geen BRP, wijk, gebied)</t>
        </is>
      </c>
      <c r="D14" s="2" t="inlineStr">
        <is>
          <t>Stap 2; wijk/gebied via dropdown met Rotterdam-Zuid wijken; woonplaats default Rotterdam</t>
        </is>
      </c>
      <c r="E14" s="3" t="inlineStr">
        <is>
          <t>Gereed</t>
        </is>
      </c>
      <c r="F14" s="4" t="inlineStr">
        <is>
          <t>Must</t>
        </is>
      </c>
    </row>
    <row r="15">
      <c r="A15" s="2" t="inlineStr">
        <is>
          <t>US-014</t>
        </is>
      </c>
      <c r="B15" s="2" t="inlineStr">
        <is>
          <t>Intake</t>
        </is>
      </c>
      <c r="C15" s="2" t="inlineStr">
        <is>
          <t>Als intaker wil ik contactgegevens en verwijzingsinfo invoeren (telefoon, email, contactpersoon, WhatsApp, vervoer, rijbewijs, zorgverzekering, door wie bekend)</t>
        </is>
      </c>
      <c r="D15" s="2" t="inlineStr">
        <is>
          <t>Stap 3; checkboxes voor WhatsApp/vervoer/rijbewijs; vrij tekstveld voor verwijzer</t>
        </is>
      </c>
      <c r="E15" s="3" t="inlineStr">
        <is>
          <t>Gereed</t>
        </is>
      </c>
      <c r="F15" s="4" t="inlineStr">
        <is>
          <t>Must</t>
        </is>
      </c>
    </row>
    <row r="16">
      <c r="A16" s="2" t="inlineStr">
        <is>
          <t>US-015</t>
        </is>
      </c>
      <c r="B16" s="2" t="inlineStr">
        <is>
          <t>Intake</t>
        </is>
      </c>
      <c r="C16" s="2" t="inlineStr">
        <is>
          <t>Als intaker wil ik financiele gegevens invoeren (uitkering, type, klantmanager, toestemming)</t>
        </is>
      </c>
      <c r="D16" s="2" t="inlineStr">
        <is>
          <t>Stap 4; meerdere uitkeringen komma-gescheiden; toestemming checkbox</t>
        </is>
      </c>
      <c r="E16" s="3" t="inlineStr">
        <is>
          <t>Gereed</t>
        </is>
      </c>
      <c r="F16" s="4" t="inlineStr">
        <is>
          <t>Must</t>
        </is>
      </c>
    </row>
    <row r="17">
      <c r="A17" s="2" t="inlineStr">
        <is>
          <t>US-016</t>
        </is>
      </c>
      <c r="B17" s="2" t="inlineStr">
        <is>
          <t>Intake</t>
        </is>
      </c>
      <c r="C17" s="2" t="inlineStr">
        <is>
          <t>Als intaker wil ik de gewenste sector en certificaatvoorkeur vastleggen</t>
        </is>
      </c>
      <c r="D17" s="2" t="inlineStr">
        <is>
          <t>Stap 5; 11 sectoren multi-select (Bouw, Logistiek, Haven, etc.); 2 certificaat voorkeurvelden</t>
        </is>
      </c>
      <c r="E17" s="3" t="inlineStr">
        <is>
          <t>Gereed</t>
        </is>
      </c>
      <c r="F17" s="4" t="inlineStr">
        <is>
          <t>Must</t>
        </is>
      </c>
    </row>
    <row r="18">
      <c r="A18" s="2" t="inlineStr">
        <is>
          <t>US-017</t>
        </is>
      </c>
      <c r="B18" s="2" t="inlineStr">
        <is>
          <t>Intake</t>
        </is>
      </c>
      <c r="C18" s="2" t="inlineStr">
        <is>
          <t>Als intaker wil ik motivatie en competenties vastleggen (motivatie, demotivatie, stip aan horizon, eigenschappen, talen, hobbys)</t>
        </is>
      </c>
      <c r="D18" s="2" t="inlineStr">
        <is>
          <t>Stap 6; 7 tekstvelden; stip aan de horizon = lange termijn doel</t>
        </is>
      </c>
      <c r="E18" s="3" t="inlineStr">
        <is>
          <t>Gereed</t>
        </is>
      </c>
      <c r="F18" s="4" t="inlineStr">
        <is>
          <t>Must</t>
        </is>
      </c>
    </row>
    <row r="19">
      <c r="A19" s="2" t="inlineStr">
        <is>
          <t>US-018</t>
        </is>
      </c>
      <c r="B19" s="2" t="inlineStr">
        <is>
          <t>Intake</t>
        </is>
      </c>
      <c r="C19" s="2" t="inlineStr">
        <is>
          <t>Als intaker wil ik de thuissituatie vastleggen (woonsituatie, kinderen, eerdere trajecten, hulpverleners)</t>
        </is>
      </c>
      <c r="D19" s="2" t="inlineStr">
        <is>
          <t>Stap 7; 4 velden; vrije tekst invoer</t>
        </is>
      </c>
      <c r="E19" s="3" t="inlineStr">
        <is>
          <t>Gereed</t>
        </is>
      </c>
      <c r="F19" s="4" t="inlineStr">
        <is>
          <t>Must</t>
        </is>
      </c>
    </row>
    <row r="20">
      <c r="A20" s="2" t="inlineStr">
        <is>
          <t>US-019</t>
        </is>
      </c>
      <c r="B20" s="2" t="inlineStr">
        <is>
          <t>Intake</t>
        </is>
      </c>
      <c r="C20" s="2" t="inlineStr">
        <is>
          <t>Als intaker wil ik medische bijzonderheden en middelengebruik vastleggen (AVG-gevoelig)</t>
        </is>
      </c>
      <c r="D20" s="2" t="inlineStr">
        <is>
          <t>Stap 8; 2 tekstvelden; AVG-waarschuwing zichtbaar; alleen bevoegde medewerkers</t>
        </is>
      </c>
      <c r="E20" s="3" t="inlineStr">
        <is>
          <t>Gereed</t>
        </is>
      </c>
      <c r="F20" s="4" t="inlineStr">
        <is>
          <t>Must</t>
        </is>
      </c>
    </row>
    <row r="21">
      <c r="A21" s="2" t="inlineStr">
        <is>
          <t>US-020</t>
        </is>
      </c>
      <c r="B21" s="2" t="inlineStr">
        <is>
          <t>Intake</t>
        </is>
      </c>
      <c r="C21" s="2" t="inlineStr">
        <is>
          <t>Als intaker wil ik schuldeninformatie vastleggen (heeft schulden, reden/bedrag, afspraken)</t>
        </is>
      </c>
      <c r="D21" s="2" t="inlineStr">
        <is>
          <t>Stap 9; checkbox + 2 tekstvelden</t>
        </is>
      </c>
      <c r="E21" s="3" t="inlineStr">
        <is>
          <t>Gereed</t>
        </is>
      </c>
      <c r="F21" s="4" t="inlineStr">
        <is>
          <t>Must</t>
        </is>
      </c>
    </row>
    <row r="22">
      <c r="A22" s="2" t="inlineStr">
        <is>
          <t>US-021</t>
        </is>
      </c>
      <c r="B22" s="2" t="inlineStr">
        <is>
          <t>Intake</t>
        </is>
      </c>
      <c r="C22" s="2" t="inlineStr">
        <is>
          <t>Als intaker wil ik justitieel verleden vastleggen (aanraking politie, veroordeeld/detentie, lopende zaken)</t>
        </is>
      </c>
      <c r="D22" s="2" t="inlineStr">
        <is>
          <t>Stap 10; checkbox + 3 tekstvelden; AVG-waarschuwing</t>
        </is>
      </c>
      <c r="E22" s="3" t="inlineStr">
        <is>
          <t>Gereed</t>
        </is>
      </c>
      <c r="F22" s="4" t="inlineStr">
        <is>
          <t>Must</t>
        </is>
      </c>
    </row>
    <row r="23">
      <c r="A23" s="2" t="inlineStr">
        <is>
          <t>US-022</t>
        </is>
      </c>
      <c r="B23" s="2" t="inlineStr">
        <is>
          <t>Intake</t>
        </is>
      </c>
      <c r="C23" s="2" t="inlineStr">
        <is>
          <t>Als intaker wil ik opleidingsgegevens vastleggen (opleiding, diploma, niveau, reden uitval)</t>
        </is>
      </c>
      <c r="D23" s="2" t="inlineStr">
        <is>
          <t>Stap 11; 4 velden</t>
        </is>
      </c>
      <c r="E23" s="3" t="inlineStr">
        <is>
          <t>Gereed</t>
        </is>
      </c>
      <c r="F23" s="4" t="inlineStr">
        <is>
          <t>Must</t>
        </is>
      </c>
    </row>
    <row r="24">
      <c r="A24" s="2" t="inlineStr">
        <is>
          <t>US-023</t>
        </is>
      </c>
      <c r="B24" s="2" t="inlineStr">
        <is>
          <t>Intake</t>
        </is>
      </c>
      <c r="C24" s="2" t="inlineStr">
        <is>
          <t>Als intaker wil ik cursussen en certificaten vastleggen</t>
        </is>
      </c>
      <c r="D24" s="2" t="inlineStr">
        <is>
          <t>Stap 12; cursussen gevolgd + certificaten behaald tekstvelden</t>
        </is>
      </c>
      <c r="E24" s="3" t="inlineStr">
        <is>
          <t>Gereed</t>
        </is>
      </c>
      <c r="F24" s="4" t="inlineStr">
        <is>
          <t>Must</t>
        </is>
      </c>
    </row>
    <row r="25">
      <c r="A25" s="2" t="inlineStr">
        <is>
          <t>US-024</t>
        </is>
      </c>
      <c r="B25" s="2" t="inlineStr">
        <is>
          <t>Intake</t>
        </is>
      </c>
      <c r="C25" s="2" t="inlineStr">
        <is>
          <t>Als intaker wil ik werkervaring vastleggen (waar gewerkt, waarom lukte het, heeft CV)</t>
        </is>
      </c>
      <c r="D25" s="2" t="inlineStr">
        <is>
          <t>Stap 13; 2 tekstvelden + checkbox CV</t>
        </is>
      </c>
      <c r="E25" s="3" t="inlineStr">
        <is>
          <t>Gereed</t>
        </is>
      </c>
      <c r="F25" s="4" t="inlineStr">
        <is>
          <t>Must</t>
        </is>
      </c>
    </row>
    <row r="26">
      <c r="A26" s="2" t="inlineStr">
        <is>
          <t>US-025</t>
        </is>
      </c>
      <c r="B26" s="2" t="inlineStr">
        <is>
          <t>Intake</t>
        </is>
      </c>
      <c r="C26" s="2" t="inlineStr">
        <is>
          <t>Als intaker wil ik acties en afspraken vastleggen (afspraken, leefgebieden, hulp, notities)</t>
        </is>
      </c>
      <c r="D26" s="2" t="inlineStr">
        <is>
          <t>Stap 14; 4 tekstvelden; intake notities voor overige opmerkingen</t>
        </is>
      </c>
      <c r="E26" s="3" t="inlineStr">
        <is>
          <t>Gereed</t>
        </is>
      </c>
      <c r="F26" s="4" t="inlineStr">
        <is>
          <t>Must</t>
        </is>
      </c>
    </row>
    <row r="27">
      <c r="A27" s="2" t="inlineStr">
        <is>
          <t>US-026</t>
        </is>
      </c>
      <c r="B27" s="2" t="inlineStr">
        <is>
          <t>Intake</t>
        </is>
      </c>
      <c r="C27" s="2" t="inlineStr">
        <is>
          <t>Als intaker wil ik door het intake formulier navigeren via een stappen-wizard met voortgangsbalk</t>
        </is>
      </c>
      <c r="D27" s="2" t="inlineStr">
        <is>
          <t>14 stappen; voortgangsbalk bovenaan; vorige/volgende knoppen; opslaan op laatste stap</t>
        </is>
      </c>
      <c r="E27" s="3" t="inlineStr">
        <is>
          <t>Gereed</t>
        </is>
      </c>
      <c r="F27" s="4" t="inlineStr">
        <is>
          <t>Must</t>
        </is>
      </c>
    </row>
    <row r="28">
      <c r="A28" s="2" t="inlineStr">
        <is>
          <t>US-027</t>
        </is>
      </c>
      <c r="B28" s="2" t="inlineStr">
        <is>
          <t>Intake</t>
        </is>
      </c>
      <c r="C28" s="2" t="inlineStr">
        <is>
          <t>Als intaker wil ik dat bij opslaan de status automatisch naar "Intake Afgerond" gaat</t>
        </is>
      </c>
      <c r="D28" s="2" t="inlineStr">
        <is>
          <t>Na opslaan: traject_status = intake_afgerond; intake_datum en intake_door ingevuld; toast bevestiging</t>
        </is>
      </c>
      <c r="E28" s="3" t="inlineStr">
        <is>
          <t>Gereed</t>
        </is>
      </c>
      <c r="F28" s="4" t="inlineStr">
        <is>
          <t>Must</t>
        </is>
      </c>
    </row>
    <row r="29">
      <c r="A29" s="2" t="inlineStr">
        <is>
          <t>US-028</t>
        </is>
      </c>
      <c r="B29" s="2" t="inlineStr">
        <is>
          <t>Trainingen</t>
        </is>
      </c>
      <c r="C29" s="2" t="inlineStr">
        <is>
          <t>Als admin wil ik trainingen kunnen aanmaken en beheren (naam, omschrijving, duur, max deelnemers, locatie)</t>
        </is>
      </c>
      <c r="D29" s="2" t="inlineStr">
        <is>
          <t>CRUD formulier; actief/inactief toggle; lijst met zoekfunctie</t>
        </is>
      </c>
      <c r="E29" s="3" t="inlineStr">
        <is>
          <t>Gereed</t>
        </is>
      </c>
      <c r="F29" s="4" t="inlineStr">
        <is>
          <t>Must</t>
        </is>
      </c>
    </row>
    <row r="30">
      <c r="A30" s="2" t="inlineStr">
        <is>
          <t>US-029</t>
        </is>
      </c>
      <c r="B30" s="2" t="inlineStr">
        <is>
          <t>Trainingen</t>
        </is>
      </c>
      <c r="C30" s="2" t="inlineStr">
        <is>
          <t>Als admin wil ik trainingsgroepen aanmaken met auto-gegenereerde groepscode</t>
        </is>
      </c>
      <c r="D30" s="2" t="inlineStr">
        <is>
          <t>Groepscode formaat: YYYY-MMx (bijv. 2026-03a); start/eind datum; trainer toewijzing; max deelnemers</t>
        </is>
      </c>
      <c r="E30" s="3" t="inlineStr">
        <is>
          <t>Gereed</t>
        </is>
      </c>
      <c r="F30" s="4" t="inlineStr">
        <is>
          <t>Must</t>
        </is>
      </c>
    </row>
    <row r="31">
      <c r="A31" s="2" t="inlineStr">
        <is>
          <t>US-030</t>
        </is>
      </c>
      <c r="B31" s="2" t="inlineStr">
        <is>
          <t>Trainingen</t>
        </is>
      </c>
      <c r="C31" s="2" t="inlineStr">
        <is>
          <t>Als trainer wil ik kandidaten koppelen aan mijn trainingsgroep</t>
        </is>
      </c>
      <c r="D31" s="2" t="inlineStr">
        <is>
          <t>Kandidaat selectie; resultaat tracking (behaald/niet behaald/lopend/gestopt)</t>
        </is>
      </c>
      <c r="E31" s="3" t="inlineStr">
        <is>
          <t>Gereed</t>
        </is>
      </c>
      <c r="F31" s="4" t="inlineStr">
        <is>
          <t>Must</t>
        </is>
      </c>
    </row>
    <row r="32">
      <c r="A32" s="2" t="inlineStr">
        <is>
          <t>US-031</t>
        </is>
      </c>
      <c r="B32" s="2" t="inlineStr">
        <is>
          <t>Aanwezigheid</t>
        </is>
      </c>
      <c r="C32" s="2" t="inlineStr">
        <is>
          <t>Als trainer wil ik dagelijks de aanwezigheid registreren per trainingsgroep</t>
        </is>
      </c>
      <c r="D32" s="2" t="inlineStr">
        <is>
          <t>5 statussen: aanwezig, afwezig gemeld, afwezig ongemeld, te laat, ziek; per kandidaat per dag</t>
        </is>
      </c>
      <c r="E32" s="3" t="inlineStr">
        <is>
          <t>Gereed</t>
        </is>
      </c>
      <c r="F32" s="4" t="inlineStr">
        <is>
          <t>Must</t>
        </is>
      </c>
    </row>
    <row r="33">
      <c r="A33" s="2" t="inlineStr">
        <is>
          <t>US-032</t>
        </is>
      </c>
      <c r="B33" s="2" t="inlineStr">
        <is>
          <t>Aanwezigheid</t>
        </is>
      </c>
      <c r="C33" s="2" t="inlineStr">
        <is>
          <t>Als medewerker wil ik een aanwezigheidsoverzicht zien per groep</t>
        </is>
      </c>
      <c r="D33" s="2" t="inlineStr">
        <is>
          <t>Overzicht met data en statussen; percentages berekend</t>
        </is>
      </c>
      <c r="E33" s="3" t="inlineStr">
        <is>
          <t>Gereed</t>
        </is>
      </c>
      <c r="F33" s="3" t="inlineStr">
        <is>
          <t>Should</t>
        </is>
      </c>
    </row>
    <row r="34">
      <c r="A34" s="2" t="inlineStr">
        <is>
          <t>US-033</t>
        </is>
      </c>
      <c r="B34" s="2" t="inlineStr">
        <is>
          <t>Voortgang</t>
        </is>
      </c>
      <c r="C34" s="2" t="inlineStr">
        <is>
          <t>Als trainer wil ik voortgang registreren per kandidaat (mijlpaal, beoordeling, certificaat)</t>
        </is>
      </c>
      <c r="D34" s="2" t="inlineStr">
        <is>
          <t>Type selectie; omschrijving; score; behaald toggle; datum</t>
        </is>
      </c>
      <c r="E34" s="3" t="inlineStr">
        <is>
          <t>Gereed</t>
        </is>
      </c>
      <c r="F34" s="3" t="inlineStr">
        <is>
          <t>Should</t>
        </is>
      </c>
    </row>
    <row r="35">
      <c r="A35" s="2" t="inlineStr">
        <is>
          <t>US-034</t>
        </is>
      </c>
      <c r="B35" s="2" t="inlineStr">
        <is>
          <t>Notities</t>
        </is>
      </c>
      <c r="C35" s="2" t="inlineStr">
        <is>
          <t>Als medewerker wil ik notities toevoegen aan een kandidaat met categorie en vertrouwelijkheid</t>
        </is>
      </c>
      <c r="D35" s="2" t="inlineStr">
        <is>
          <t>4 categorieen (algemeen, voortgang, zorg, positief); vertrouwelijk toggle; CRUD</t>
        </is>
      </c>
      <c r="E35" s="3" t="inlineStr">
        <is>
          <t>Gereed</t>
        </is>
      </c>
      <c r="F35" s="4" t="inlineStr">
        <is>
          <t>Must</t>
        </is>
      </c>
    </row>
    <row r="36">
      <c r="A36" s="2" t="inlineStr">
        <is>
          <t>US-035</t>
        </is>
      </c>
      <c r="B36" s="2" t="inlineStr">
        <is>
          <t>Documenten</t>
        </is>
      </c>
      <c r="C36" s="2" t="inlineStr">
        <is>
          <t>Als medewerker wil ik een intake rapport exporteren als Word document</t>
        </is>
      </c>
      <c r="D36" s="2" t="inlineStr">
        <is>
          <t>Alle persoonsgegevens in opgemaakt Word document; City Solid branding; header/footer</t>
        </is>
      </c>
      <c r="E36" s="3" t="inlineStr">
        <is>
          <t>Gereed</t>
        </is>
      </c>
      <c r="F36" s="4" t="inlineStr">
        <is>
          <t>Must</t>
        </is>
      </c>
    </row>
    <row r="37">
      <c r="A37" s="2" t="inlineStr">
        <is>
          <t>US-036</t>
        </is>
      </c>
      <c r="B37" s="2" t="inlineStr">
        <is>
          <t>Documenten</t>
        </is>
      </c>
      <c r="C37" s="2" t="inlineStr">
        <is>
          <t>Als medewerker wil ik een voortgangsrapport exporteren als Word document</t>
        </is>
      </c>
      <c r="D37" s="2" t="inlineStr">
        <is>
          <t>Samenvatting + aanwezigheidsoverzicht + vorderingen; per trainingsgroep</t>
        </is>
      </c>
      <c r="E37" s="3" t="inlineStr">
        <is>
          <t>Gereed</t>
        </is>
      </c>
      <c r="F37" s="3" t="inlineStr">
        <is>
          <t>Should</t>
        </is>
      </c>
    </row>
    <row r="38">
      <c r="A38" s="2" t="inlineStr">
        <is>
          <t>US-037</t>
        </is>
      </c>
      <c r="B38" s="2" t="inlineStr">
        <is>
          <t>Documenten</t>
        </is>
      </c>
      <c r="C38" s="2" t="inlineStr">
        <is>
          <t>Als medewerker wil ik kandidaatgegevens kunnen exporteren naar Excel</t>
        </is>
      </c>
      <c r="D38" s="2" t="inlineStr">
        <is>
          <t>Excel export met relevante kolommen; downloadbaar bestand</t>
        </is>
      </c>
      <c r="E38" s="3" t="inlineStr">
        <is>
          <t>Gereed</t>
        </is>
      </c>
      <c r="F38" s="3" t="inlineStr">
        <is>
          <t>Should</t>
        </is>
      </c>
    </row>
    <row r="39">
      <c r="A39" s="2" t="inlineStr">
        <is>
          <t>US-038</t>
        </is>
      </c>
      <c r="B39" s="2" t="inlineStr">
        <is>
          <t>Dashboard</t>
        </is>
      </c>
      <c r="C39" s="2" t="inlineStr">
        <is>
          <t>Als medewerker wil ik een dashboard zien met statistieken en statusverdeling</t>
        </is>
      </c>
      <c r="D39" s="2" t="inlineStr">
        <is>
          <t>Overzichtspagina; aantallen per status; snelle navigatie</t>
        </is>
      </c>
      <c r="E39" s="3" t="inlineStr">
        <is>
          <t>Gereed</t>
        </is>
      </c>
      <c r="F39" s="3" t="inlineStr">
        <is>
          <t>Should</t>
        </is>
      </c>
    </row>
    <row r="40">
      <c r="A40" s="2" t="inlineStr">
        <is>
          <t>US-039</t>
        </is>
      </c>
      <c r="B40" s="2" t="inlineStr">
        <is>
          <t>Audit</t>
        </is>
      </c>
      <c r="C40" s="2" t="inlineStr">
        <is>
          <t>Als admin wil ik een audit trail zien van alle wijzigingen in het systeem</t>
        </is>
      </c>
      <c r="D40" s="2" t="inlineStr">
        <is>
          <t>cs_audit_log tabel; acties: create, update, delete, status_change, export, login, view_sensitive</t>
        </is>
      </c>
      <c r="E40" s="3" t="inlineStr">
        <is>
          <t>Gereed</t>
        </is>
      </c>
      <c r="F40" s="4" t="inlineStr">
        <is>
          <t>Must</t>
        </is>
      </c>
    </row>
    <row r="41">
      <c r="A41" s="2" t="inlineStr">
        <is>
          <t>US-040</t>
        </is>
      </c>
      <c r="B41" s="2" t="inlineStr">
        <is>
          <t>Database</t>
        </is>
      </c>
      <c r="C41" s="2" t="inlineStr">
        <is>
          <t>Als ontwikkelaar wil ik een veilig databaseschema met RLS policies per rol</t>
        </is>
      </c>
      <c r="D41" s="2" t="inlineStr">
        <is>
          <t>10+ tabellen; RLS per rol (admin: alles, intaker: CRUD kandidaten, trainer: eigen groepen, readonly: alleen lezen)</t>
        </is>
      </c>
      <c r="E41" s="3" t="inlineStr">
        <is>
          <t>Gereed</t>
        </is>
      </c>
      <c r="F41" s="4" t="inlineStr">
        <is>
          <t>Must</t>
        </is>
      </c>
    </row>
    <row r="42">
      <c r="A42" s="2" t="inlineStr">
        <is>
          <t>US-041</t>
        </is>
      </c>
      <c r="B42" s="2" t="inlineStr">
        <is>
          <t>UI/UX</t>
        </is>
      </c>
      <c r="C42" s="2" t="inlineStr">
        <is>
          <t>Als gebruiker wil ik een responsive layout met sidebar navigatie</t>
        </is>
      </c>
      <c r="D42" s="2" t="inlineStr">
        <is>
          <t>Sidebar met menu-items; responsive op mobiel; collapsible</t>
        </is>
      </c>
      <c r="E42" s="3" t="inlineStr">
        <is>
          <t>Gereed</t>
        </is>
      </c>
      <c r="F42" s="3" t="inlineStr">
        <is>
          <t>Should</t>
        </is>
      </c>
    </row>
    <row r="43">
      <c r="A43" s="2" t="inlineStr">
        <is>
          <t>US-042</t>
        </is>
      </c>
      <c r="B43" s="2" t="inlineStr">
        <is>
          <t>UI/UX</t>
        </is>
      </c>
      <c r="C43" s="2" t="inlineStr">
        <is>
          <t>Als gebruiker wil ik dark/light mode kunnen gebruiken</t>
        </is>
      </c>
      <c r="D43" s="2" t="inlineStr">
        <is>
          <t>Toggle in UI; voorkeur opgeslagen; consistent door hele app</t>
        </is>
      </c>
      <c r="E43" s="3" t="inlineStr">
        <is>
          <t>Gereed</t>
        </is>
      </c>
      <c r="F43" s="5" t="inlineStr">
        <is>
          <t>Could</t>
        </is>
      </c>
    </row>
    <row r="44">
      <c r="A44" s="2" t="inlineStr">
        <is>
          <t>US-043</t>
        </is>
      </c>
      <c r="B44" s="2" t="inlineStr">
        <is>
          <t>UI/UX</t>
        </is>
      </c>
      <c r="C44" s="2" t="inlineStr">
        <is>
          <t>Als gebruiker wil ik feedback krijgen via toast notificaties en loading states</t>
        </is>
      </c>
      <c r="D44" s="2" t="inlineStr">
        <is>
          <t>Toast bij succes/fout; loading spinners bij data ophalen</t>
        </is>
      </c>
      <c r="E44" s="3" t="inlineStr">
        <is>
          <t>Gereed</t>
        </is>
      </c>
      <c r="F44" s="3" t="inlineStr">
        <is>
          <t>Should</t>
        </is>
      </c>
    </row>
    <row r="45">
      <c r="A45" s="2" t="inlineStr">
        <is>
          <t>US-044</t>
        </is>
      </c>
      <c r="B45" s="2" t="inlineStr">
        <is>
          <t>Rapportages</t>
        </is>
      </c>
      <c r="C45" s="2" t="inlineStr">
        <is>
          <t>Als manager wil ik een analytics dashboard met grafieken over instroom, uitstroom en doorstroom</t>
        </is>
      </c>
      <c r="D45" s="2" t="inlineStr">
        <is>
          <t>Grafieken per periode; filter op wijk/gebied/training; export als PDF</t>
        </is>
      </c>
      <c r="E45" s="5" t="inlineStr">
        <is>
          <t>Open</t>
        </is>
      </c>
      <c r="F45" s="3" t="inlineStr">
        <is>
          <t>Should</t>
        </is>
      </c>
    </row>
    <row r="46">
      <c r="A46" s="2" t="inlineStr">
        <is>
          <t>US-045</t>
        </is>
      </c>
      <c r="B46" s="2" t="inlineStr">
        <is>
          <t>Rapportages</t>
        </is>
      </c>
      <c r="C46" s="2" t="inlineStr">
        <is>
          <t>Als manager wil ik aanwezigheidspercentages zien per kandidaat, groep en training</t>
        </is>
      </c>
      <c r="D46" s="2" t="inlineStr">
        <is>
          <t>Percentage berekening; kleurcodering (groen &gt;80%, oranje 60-80%, rood &lt;60%)</t>
        </is>
      </c>
      <c r="E46" s="5" t="inlineStr">
        <is>
          <t>Open</t>
        </is>
      </c>
      <c r="F46" s="3" t="inlineStr">
        <is>
          <t>Should</t>
        </is>
      </c>
    </row>
    <row r="47">
      <c r="A47" s="2" t="inlineStr">
        <is>
          <t>US-046</t>
        </is>
      </c>
      <c r="B47" s="2" t="inlineStr">
        <is>
          <t>Rapportages</t>
        </is>
      </c>
      <c r="C47" s="2" t="inlineStr">
        <is>
          <t>Als manager wil ik succespercentages per training en sector zien</t>
        </is>
      </c>
      <c r="D47" s="2" t="inlineStr">
        <is>
          <t>Behaald vs niet-behaald ratio; per training type; trend over tijd</t>
        </is>
      </c>
      <c r="E47" s="5" t="inlineStr">
        <is>
          <t>Open</t>
        </is>
      </c>
      <c r="F47" s="5" t="inlineStr">
        <is>
          <t>Could</t>
        </is>
      </c>
    </row>
    <row r="48">
      <c r="A48" s="2" t="inlineStr">
        <is>
          <t>US-047</t>
        </is>
      </c>
      <c r="B48" s="2" t="inlineStr">
        <is>
          <t>Import</t>
        </is>
      </c>
      <c r="C48" s="2" t="inlineStr">
        <is>
          <t>Als admin wil ik kandidaten bulk importeren via een Excel/CSV upload</t>
        </is>
      </c>
      <c r="D48" s="2" t="inlineStr">
        <is>
          <t>Upload formulier; validatie van kolommen; foutrapportage; preview voor import</t>
        </is>
      </c>
      <c r="E48" s="5" t="inlineStr">
        <is>
          <t>Open</t>
        </is>
      </c>
      <c r="F48" s="3" t="inlineStr">
        <is>
          <t>Should</t>
        </is>
      </c>
    </row>
    <row r="49">
      <c r="A49" s="2" t="inlineStr">
        <is>
          <t>US-048</t>
        </is>
      </c>
      <c r="B49" s="2" t="inlineStr">
        <is>
          <t>Notificaties</t>
        </is>
      </c>
      <c r="C49" s="2" t="inlineStr">
        <is>
          <t>Als medewerker wil ik e-mail notificaties ontvangen bij belangrijke gebeurtenissen</t>
        </is>
      </c>
      <c r="D49" s="2" t="inlineStr">
        <is>
          <t>Notificatie bij nieuwe aanmelding; intake herinnering; afwezigheid meldingen</t>
        </is>
      </c>
      <c r="E49" s="5" t="inlineStr">
        <is>
          <t>Open</t>
        </is>
      </c>
      <c r="F49" s="5" t="inlineStr">
        <is>
          <t>Could</t>
        </is>
      </c>
    </row>
    <row r="50">
      <c r="A50" s="2" t="inlineStr">
        <is>
          <t>US-049</t>
        </is>
      </c>
      <c r="B50" s="2" t="inlineStr">
        <is>
          <t>Planning</t>
        </is>
      </c>
      <c r="C50" s="2" t="inlineStr">
        <is>
          <t>Als intaker wil ik intakegesprekken kunnen inplannen via een agenda</t>
        </is>
      </c>
      <c r="D50" s="2" t="inlineStr">
        <is>
          <t>Kalenderweergave; afspraak aanmaken; reminder functie</t>
        </is>
      </c>
      <c r="E50" s="5" t="inlineStr">
        <is>
          <t>Open</t>
        </is>
      </c>
      <c r="F50" s="5" t="inlineStr">
        <is>
          <t>Could</t>
        </is>
      </c>
    </row>
    <row r="51">
      <c r="A51" s="2" t="inlineStr">
        <is>
          <t>US-050</t>
        </is>
      </c>
      <c r="B51" s="2" t="inlineStr">
        <is>
          <t>Kandidaten</t>
        </is>
      </c>
      <c r="C51" s="2" t="inlineStr">
        <is>
          <t>Als medewerker wil ik een kandidaat kunnen zoeken via een globale zoekbalk</t>
        </is>
      </c>
      <c r="D51" s="2" t="inlineStr">
        <is>
          <t>Zoekbalk in header; zoeken op naam, ID, email; direct navigeren naar kandidaat</t>
        </is>
      </c>
      <c r="E51" s="5" t="inlineStr">
        <is>
          <t>Open</t>
        </is>
      </c>
      <c r="F51" s="3" t="inlineStr">
        <is>
          <t>Should</t>
        </is>
      </c>
    </row>
    <row r="52">
      <c r="A52" s="2" t="inlineStr">
        <is>
          <t>US-051</t>
        </is>
      </c>
      <c r="B52" s="2" t="inlineStr">
        <is>
          <t>Documenten</t>
        </is>
      </c>
      <c r="C52" s="2" t="inlineStr">
        <is>
          <t>Als medewerker wil ik documenten (CV, certificaten, ID) uploaden bij een kandidaat</t>
        </is>
      </c>
      <c r="D52" s="2" t="inlineStr">
        <is>
          <t>File upload naar Supabase Storage; preview; categorisatie; verwijderen</t>
        </is>
      </c>
      <c r="E52" s="5" t="inlineStr">
        <is>
          <t>Open</t>
        </is>
      </c>
      <c r="F52" s="3" t="inlineStr">
        <is>
          <t>Should</t>
        </is>
      </c>
    </row>
    <row r="53">
      <c r="A53" s="2" t="inlineStr">
        <is>
          <t>US-052</t>
        </is>
      </c>
      <c r="B53" s="2" t="inlineStr">
        <is>
          <t>Trainingen</t>
        </is>
      </c>
      <c r="C53" s="2" t="inlineStr">
        <is>
          <t>Als trainer wil ik een weekplanning/rooster kunnen beheren voor mijn groep</t>
        </is>
      </c>
      <c r="D53" s="2" t="inlineStr">
        <is>
          <t>Weekoverzicht; lesuren; locatie per dag; notities</t>
        </is>
      </c>
      <c r="E53" s="5" t="inlineStr">
        <is>
          <t>Open</t>
        </is>
      </c>
      <c r="F53" s="5" t="inlineStr">
        <is>
          <t>Could</t>
        </is>
      </c>
    </row>
    <row r="54">
      <c r="A54" s="2" t="inlineStr">
        <is>
          <t>US-053</t>
        </is>
      </c>
      <c r="B54" s="2" t="inlineStr">
        <is>
          <t>Kandidaten</t>
        </is>
      </c>
      <c r="C54" s="2" t="inlineStr">
        <is>
          <t>Als medewerker wil ik de voortgang van een kandidaat visueel zien in een tijdlijn</t>
        </is>
      </c>
      <c r="D54" s="2" t="inlineStr">
        <is>
          <t>Chronologische tijdlijn; statuswijzigingen, notities, certificaten als events</t>
        </is>
      </c>
      <c r="E54" s="5" t="inlineStr">
        <is>
          <t>Open</t>
        </is>
      </c>
      <c r="F54" s="5" t="inlineStr">
        <is>
          <t>Could</t>
        </is>
      </c>
    </row>
    <row r="55">
      <c r="A55" s="2" t="inlineStr">
        <is>
          <t>US-054</t>
        </is>
      </c>
      <c r="B55" s="2" t="inlineStr">
        <is>
          <t>Integratie</t>
        </is>
      </c>
      <c r="C55" s="2" t="inlineStr">
        <is>
          <t>Als admin wil ik koppelen met het Jongerenloket voor automatische data-uitwisseling</t>
        </is>
      </c>
      <c r="D55" s="2" t="inlineStr">
        <is>
          <t>API koppeling; synchronisatie van klantmanager gegevens</t>
        </is>
      </c>
      <c r="E55" s="5" t="inlineStr">
        <is>
          <t>Open</t>
        </is>
      </c>
      <c r="F55" s="6" t="inlineStr">
        <is>
          <t>Wens</t>
        </is>
      </c>
    </row>
    <row r="56">
      <c r="A56" s="2" t="inlineStr">
        <is>
          <t>US-055</t>
        </is>
      </c>
      <c r="B56" s="2" t="inlineStr">
        <is>
          <t>Rapportages</t>
        </is>
      </c>
      <c r="C56" s="2" t="inlineStr">
        <is>
          <t>Als manager wil ik maand-/kwartaalrapportages automatisch laten genereren</t>
        </is>
      </c>
      <c r="D56" s="2" t="inlineStr">
        <is>
          <t>Automatische rapportage op schema; PDF/Excel export; verzending per email</t>
        </is>
      </c>
      <c r="E56" s="5" t="inlineStr">
        <is>
          <t>Open</t>
        </is>
      </c>
      <c r="F56" s="5" t="inlineStr">
        <is>
          <t>Could</t>
        </is>
      </c>
    </row>
    <row r="57">
      <c r="A57" s="2" t="inlineStr">
        <is>
          <t>US-056</t>
        </is>
      </c>
      <c r="B57" s="2" t="inlineStr">
        <is>
          <t>UI/UX</t>
        </is>
      </c>
      <c r="C57" s="2" t="inlineStr">
        <is>
          <t>Als gebruiker wil ik de app kunnen gebruiken op mijn telefoon (PWA)</t>
        </is>
      </c>
      <c r="D57" s="2" t="inlineStr">
        <is>
          <t>Progressive Web App; installeerbaar; offline basis-functionaliteit</t>
        </is>
      </c>
      <c r="E57" s="5" t="inlineStr">
        <is>
          <t>Open</t>
        </is>
      </c>
      <c r="F57" s="5" t="inlineStr">
        <is>
          <t>Could</t>
        </is>
      </c>
    </row>
    <row r="58">
      <c r="A58" s="2" t="inlineStr">
        <is>
          <t>US-057</t>
        </is>
      </c>
      <c r="B58" s="2" t="inlineStr">
        <is>
          <t>Kandidaten</t>
        </is>
      </c>
      <c r="C58" s="2" t="inlineStr">
        <is>
          <t>Als intaker wil ik een foto kunnen toevoegen aan het kandidaatprofiel</t>
        </is>
      </c>
      <c r="D58" s="2" t="inlineStr">
        <is>
          <t>Foto upload; weergave op detailpagina en in lijsten; compressie</t>
        </is>
      </c>
      <c r="E58" s="5" t="inlineStr">
        <is>
          <t>Open</t>
        </is>
      </c>
      <c r="F58" s="5" t="inlineStr">
        <is>
          <t>Could</t>
        </is>
      </c>
    </row>
    <row r="59">
      <c r="A59" s="2" t="inlineStr">
        <is>
          <t>US-058</t>
        </is>
      </c>
      <c r="B59" s="2" t="inlineStr">
        <is>
          <t>Audit</t>
        </is>
      </c>
      <c r="C59" s="2" t="inlineStr">
        <is>
          <t>Als admin wil ik audit logs kunnen filteren en doorzoeken</t>
        </is>
      </c>
      <c r="D59" s="2" t="inlineStr">
        <is>
          <t>Filter op actie, gebruiker, datum, object; zoekfunctie; export</t>
        </is>
      </c>
      <c r="E59" s="5" t="inlineStr">
        <is>
          <t>Open</t>
        </is>
      </c>
      <c r="F59" s="3" t="inlineStr">
        <is>
          <t>Should</t>
        </is>
      </c>
    </row>
    <row r="60">
      <c r="A60" s="2" t="inlineStr">
        <is>
          <t>US-059</t>
        </is>
      </c>
      <c r="B60" s="2" t="inlineStr">
        <is>
          <t>Trainingen</t>
        </is>
      </c>
      <c r="C60" s="2" t="inlineStr">
        <is>
          <t>Als admin wil ik wachtlijstbeheer voor volle trainingsgroepen</t>
        </is>
      </c>
      <c r="D60" s="2" t="inlineStr">
        <is>
          <t>Wachtlijst per groep; automatische notificatie bij plek vrij; prioriteit</t>
        </is>
      </c>
      <c r="E60" s="5" t="inlineStr">
        <is>
          <t>Open</t>
        </is>
      </c>
      <c r="F60" s="5" t="inlineStr">
        <is>
          <t>Could</t>
        </is>
      </c>
    </row>
    <row r="61">
      <c r="A61" s="2" t="inlineStr">
        <is>
          <t>US-060</t>
        </is>
      </c>
      <c r="B61" s="2" t="inlineStr">
        <is>
          <t>Kandidaten</t>
        </is>
      </c>
      <c r="C61" s="2" t="inlineStr">
        <is>
          <t>Als medewerker wil ik snel-notities kunnen toevoegen vanuit het kandidaatoverzicht</t>
        </is>
      </c>
      <c r="D61" s="2" t="inlineStr">
        <is>
          <t>Inline notitie toevoegen zonder naar detailpagina te navigeren</t>
        </is>
      </c>
      <c r="E61" s="5" t="inlineStr">
        <is>
          <t>Open</t>
        </is>
      </c>
      <c r="F61" s="5" t="inlineStr">
        <is>
          <t>Could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7" t="inlineStr">
        <is>
          <t>Samenvatting User Stories</t>
        </is>
      </c>
      <c r="B1" s="8" t="inlineStr"/>
    </row>
    <row r="2">
      <c r="A2" s="8" t="inlineStr"/>
      <c r="B2" s="8" t="inlineStr"/>
    </row>
    <row r="3">
      <c r="A3" s="8" t="inlineStr">
        <is>
          <t>Totaal user stories</t>
        </is>
      </c>
      <c r="B3" s="8">
        <f>COUNTA('User Stories'!A2:A61)</f>
        <v/>
      </c>
    </row>
    <row r="4">
      <c r="A4" s="8" t="inlineStr">
        <is>
          <t>Gereed</t>
        </is>
      </c>
      <c r="B4" s="8">
        <f>COUNTIF('User Stories'!E2:E61,"Gereed")</f>
        <v/>
      </c>
    </row>
    <row r="5">
      <c r="A5" s="8" t="inlineStr">
        <is>
          <t>Open</t>
        </is>
      </c>
      <c r="B5" s="8">
        <f>COUNTIF('User Stories'!E2:E61,"Open")</f>
        <v/>
      </c>
    </row>
    <row r="6">
      <c r="A6" s="8" t="inlineStr">
        <is>
          <t>Wens</t>
        </is>
      </c>
      <c r="B6" s="8">
        <f>COUNTIF('User Stories'!E2:E61,"Wens")</f>
        <v/>
      </c>
    </row>
    <row r="7">
      <c r="A7" s="8" t="inlineStr"/>
      <c r="B7" s="8" t="inlineStr"/>
    </row>
    <row r="8">
      <c r="A8" s="8" t="inlineStr">
        <is>
          <t>Must have</t>
        </is>
      </c>
      <c r="B8" s="8">
        <f>COUNTIF('User Stories'!F2:F61,"Must")</f>
        <v/>
      </c>
    </row>
    <row r="9">
      <c r="A9" s="8" t="inlineStr">
        <is>
          <t>Should have</t>
        </is>
      </c>
      <c r="B9" s="8">
        <f>COUNTIF('User Stories'!F2:F61,"Should")</f>
        <v/>
      </c>
    </row>
    <row r="10">
      <c r="A10" s="8" t="inlineStr">
        <is>
          <t>Could have</t>
        </is>
      </c>
      <c r="B10" s="8">
        <f>COUNTIF('User Stories'!F2:F61,"Could")</f>
        <v/>
      </c>
    </row>
    <row r="11">
      <c r="A11" s="8" t="inlineStr"/>
      <c r="B11" s="8" t="inlineStr"/>
    </row>
    <row r="12">
      <c r="A12" s="9" t="inlineStr">
        <is>
          <t>Per Epic:</t>
        </is>
      </c>
      <c r="B12" s="8" t="inlineStr"/>
    </row>
    <row r="13">
      <c r="A13" s="8" t="inlineStr">
        <is>
          <t>Authenticatie</t>
        </is>
      </c>
      <c r="B13" s="8">
        <f>COUNTIF('User Stories'!B2:B61,"Authenticatie")</f>
        <v/>
      </c>
    </row>
    <row r="14">
      <c r="A14" s="8" t="inlineStr">
        <is>
          <t>Autorisatie</t>
        </is>
      </c>
      <c r="B14" s="8">
        <f>COUNTIF('User Stories'!B2:B61,"Autorisatie")</f>
        <v/>
      </c>
    </row>
    <row r="15">
      <c r="A15" s="8" t="inlineStr">
        <is>
          <t>Kandidaten</t>
        </is>
      </c>
      <c r="B15" s="8">
        <f>COUNTIF('User Stories'!B2:B61,"Kandidaten")</f>
        <v/>
      </c>
    </row>
    <row r="16">
      <c r="A16" s="8" t="inlineStr">
        <is>
          <t>Intake</t>
        </is>
      </c>
      <c r="B16" s="8">
        <f>COUNTIF('User Stories'!B2:B61,"Intake")</f>
        <v/>
      </c>
    </row>
    <row r="17">
      <c r="A17" s="8" t="inlineStr">
        <is>
          <t>Trainingen</t>
        </is>
      </c>
      <c r="B17" s="8">
        <f>COUNTIF('User Stories'!B2:B61,"Trainingen")</f>
        <v/>
      </c>
    </row>
    <row r="18">
      <c r="A18" s="8" t="inlineStr">
        <is>
          <t>Aanwezigheid</t>
        </is>
      </c>
      <c r="B18" s="8">
        <f>COUNTIF('User Stories'!B2:B61,"Aanwezigheid")</f>
        <v/>
      </c>
    </row>
    <row r="19">
      <c r="A19" s="8" t="inlineStr">
        <is>
          <t>Voortgang</t>
        </is>
      </c>
      <c r="B19" s="8">
        <f>COUNTIF('User Stories'!B2:B61,"Voortgang")</f>
        <v/>
      </c>
    </row>
    <row r="20">
      <c r="A20" s="8" t="inlineStr">
        <is>
          <t>Notities</t>
        </is>
      </c>
      <c r="B20" s="8">
        <f>COUNTIF('User Stories'!B2:B61,"Notities")</f>
        <v/>
      </c>
    </row>
    <row r="21">
      <c r="A21" s="8" t="inlineStr">
        <is>
          <t>Documenten</t>
        </is>
      </c>
      <c r="B21" s="8">
        <f>COUNTIF('User Stories'!B2:B61,"Documenten")</f>
        <v/>
      </c>
    </row>
    <row r="22">
      <c r="A22" s="8" t="inlineStr">
        <is>
          <t>Dashboard</t>
        </is>
      </c>
      <c r="B22" s="8">
        <f>COUNTIF('User Stories'!B2:B61,"Dashboard")</f>
        <v/>
      </c>
    </row>
    <row r="23">
      <c r="A23" s="8" t="inlineStr">
        <is>
          <t>Audit</t>
        </is>
      </c>
      <c r="B23" s="8">
        <f>COUNTIF('User Stories'!B2:B61,"Audit")</f>
        <v/>
      </c>
    </row>
    <row r="24">
      <c r="A24" s="8" t="inlineStr">
        <is>
          <t>Database</t>
        </is>
      </c>
      <c r="B24" s="8">
        <f>COUNTIF('User Stories'!B2:B61,"Database")</f>
        <v/>
      </c>
    </row>
    <row r="25">
      <c r="A25" s="8" t="inlineStr">
        <is>
          <t>UI/UX</t>
        </is>
      </c>
      <c r="B25" s="8">
        <f>COUNTIF('User Stories'!B2:B61,"UI/UX")</f>
        <v/>
      </c>
    </row>
    <row r="26">
      <c r="A26" s="8" t="inlineStr">
        <is>
          <t>Rapportages</t>
        </is>
      </c>
      <c r="B26" s="8">
        <f>COUNTIF('User Stories'!B2:B61,"Rapportages")</f>
        <v/>
      </c>
    </row>
    <row r="27">
      <c r="A27" s="8" t="inlineStr">
        <is>
          <t>Import</t>
        </is>
      </c>
      <c r="B27" s="8">
        <f>COUNTIF('User Stories'!B2:B61,"Import")</f>
        <v/>
      </c>
    </row>
    <row r="28">
      <c r="A28" s="8" t="inlineStr">
        <is>
          <t>Notificaties</t>
        </is>
      </c>
      <c r="B28" s="8">
        <f>COUNTIF('User Stories'!B2:B61,"Notificaties")</f>
        <v/>
      </c>
    </row>
    <row r="29">
      <c r="A29" s="8" t="inlineStr">
        <is>
          <t>Planning</t>
        </is>
      </c>
      <c r="B29" s="8">
        <f>COUNTIF('User Stories'!B2:B61,"Planning")</f>
        <v/>
      </c>
    </row>
    <row r="30">
      <c r="A30" s="8" t="inlineStr">
        <is>
          <t>Integratie</t>
        </is>
      </c>
      <c r="B30" s="8">
        <f>COUNTIF('User Stories'!B2:B61,"Integratie")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2026-03-17T10:11:59Z</dcterms:created>
  <dcterms:modified xmlns:dcterms="http://purl.org/dc/terms/" xmlns:xsi="http://www.w3.org/2001/XMLSchema-instance" xsi:type="dcterms:W3CDTF">2026-03-17T10:11:59Z</dcterms:modified>
</cp:coreProperties>
</file>